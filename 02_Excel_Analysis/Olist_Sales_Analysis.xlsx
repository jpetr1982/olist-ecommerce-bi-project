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olist-ecommerce-bi-project\02_Excel_Analysis\"/>
    </mc:Choice>
  </mc:AlternateContent>
  <xr:revisionPtr revIDLastSave="0" documentId="13_ncr:1_{21E8775F-3182-4970-905A-2560BBFBA03C}" xr6:coauthVersionLast="47" xr6:coauthVersionMax="47" xr10:uidLastSave="{00000000-0000-0000-0000-000000000000}"/>
  <bookViews>
    <workbookView xWindow="-108" yWindow="-108" windowWidth="23256" windowHeight="12456" xr2:uid="{5606EC74-36A9-4931-AF7D-AE67B1A6A455}"/>
  </bookViews>
  <sheets>
    <sheet name="Revenue_analysis" sheetId="4" r:id="rId1"/>
    <sheet name="Payments" sheetId="5" r:id="rId2"/>
    <sheet name="Top_categories" sheetId="6" r:id="rId3"/>
    <sheet name="data-1780503078479" sheetId="2" r:id="rId4"/>
  </sheets>
  <definedNames>
    <definedName name="ExternalData_1" localSheetId="3" hidden="1">'data-1780503078479'!$A$1:$N$11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09E1BC-F12C-4B48-BBAC-0A11BE63322B}" keepAlive="1" name="Ερώτημα - data-1780503078479" description="Σύνδεση με το ερώτημα 'data-1780503078479' στο βιβλίο εργασίας." type="5" refreshedVersion="8" background="1" saveData="1">
    <dbPr connection="Provider=Microsoft.Mashup.OleDb.1;Data Source=$Workbook$;Location=data-1780503078479;Extended Properties=&quot;&quot;" command="SELECT * FROM [data-1780503078479]"/>
  </connection>
</connections>
</file>

<file path=xl/sharedStrings.xml><?xml version="1.0" encoding="utf-8"?>
<sst xmlns="http://schemas.openxmlformats.org/spreadsheetml/2006/main" count="116" uniqueCount="74">
  <si>
    <t>order_id</t>
  </si>
  <si>
    <t>purchase_date</t>
  </si>
  <si>
    <t>order_status</t>
  </si>
  <si>
    <t>customer_id</t>
  </si>
  <si>
    <t>customer_city</t>
  </si>
  <si>
    <t>customer_state</t>
  </si>
  <si>
    <t>product_id</t>
  </si>
  <si>
    <t>category</t>
  </si>
  <si>
    <t>quantity_rank</t>
  </si>
  <si>
    <t>price</t>
  </si>
  <si>
    <t>shipping_cost</t>
  </si>
  <si>
    <t>total_value</t>
  </si>
  <si>
    <t>payment_type</t>
  </si>
  <si>
    <t>payment_installments</t>
  </si>
  <si>
    <t>00010242fe8c5a6d1ba2dd792cb16214</t>
  </si>
  <si>
    <t>delivered</t>
  </si>
  <si>
    <t>871766c5855e863f6eccc05f988b23cb</t>
  </si>
  <si>
    <t>campos dos goytacazes</t>
  </si>
  <si>
    <t>RJ</t>
  </si>
  <si>
    <t>4244733e06e7ecb4970a6e2683c13e61</t>
  </si>
  <si>
    <t>cool_stuff</t>
  </si>
  <si>
    <t>credit_card</t>
  </si>
  <si>
    <t>00018f77f2f0320c557190d7a144bdd3</t>
  </si>
  <si>
    <t>eb28e67c4c0b83846050ddfb8a35d051</t>
  </si>
  <si>
    <t>santa fe do sul</t>
  </si>
  <si>
    <t>SP</t>
  </si>
  <si>
    <t>e5f2d52b802189ee658865ca93d83a8f</t>
  </si>
  <si>
    <t>pet_shop</t>
  </si>
  <si>
    <t>000229ec398224ef6ca0657da4fc703e</t>
  </si>
  <si>
    <t>3818d81c6709e39d06b2738a8d3a2474</t>
  </si>
  <si>
    <t>para de minas</t>
  </si>
  <si>
    <t>MG</t>
  </si>
  <si>
    <t>c777355d18b72b67abbeef9df44fd0fd</t>
  </si>
  <si>
    <t>moveis_decoracao</t>
  </si>
  <si>
    <t>00024acbcdf0a6daa1e931b038114c75</t>
  </si>
  <si>
    <t>af861d436cfc08b2c2ddefd0ba074622</t>
  </si>
  <si>
    <t>atibaia</t>
  </si>
  <si>
    <t>7634da152a4610f1595efa32f14722fc</t>
  </si>
  <si>
    <t>perfumaria</t>
  </si>
  <si>
    <t>00042b26cf59d7ce69dfabb4e55b4fd9</t>
  </si>
  <si>
    <t>64b576fb70d441e8f1b2d7d446e483c5</t>
  </si>
  <si>
    <t>varzea paulista</t>
  </si>
  <si>
    <t>ac6c3623068f30de03045865e4e10089</t>
  </si>
  <si>
    <t>ferramentas_jardim</t>
  </si>
  <si>
    <t>00048cc3ae777c65dbb7d2a0634bc1ea</t>
  </si>
  <si>
    <t>85c835d128beae5b4ce8602c491bf385</t>
  </si>
  <si>
    <t>uberaba</t>
  </si>
  <si>
    <t>ef92defde845ab8450f9d70c526ef70f</t>
  </si>
  <si>
    <t>utilidades_domesticas</t>
  </si>
  <si>
    <t>boleto</t>
  </si>
  <si>
    <t>00054e8431b9d7675808bcb819fb4a32</t>
  </si>
  <si>
    <t>635d9ac1680f03288e72ada3a1035803</t>
  </si>
  <si>
    <t>guararapes</t>
  </si>
  <si>
    <t>8d4f2bb7e93e6710a28f34fa83ee7d28</t>
  </si>
  <si>
    <t>telefonia</t>
  </si>
  <si>
    <t>000576fe39319847cbb9d288c5617fa6</t>
  </si>
  <si>
    <t>fda4476abb6307ab3c415b7e6d026526</t>
  </si>
  <si>
    <t>praia grande</t>
  </si>
  <si>
    <t>557d850972a7d6f792fd18ae1400d9b6</t>
  </si>
  <si>
    <t>0005a1a1728c9d785b8e2b08b904576c</t>
  </si>
  <si>
    <t>639d23421f5517f69d0c3d6e6564cf0e</t>
  </si>
  <si>
    <t>santos</t>
  </si>
  <si>
    <t>310ae3c140ff94b03219ad0adc3c778f</t>
  </si>
  <si>
    <t>beleza_saude</t>
  </si>
  <si>
    <t>0005f50442cb953dcd1d21e1fb923495</t>
  </si>
  <si>
    <t>0782c41380992a5a533489063df0eef6</t>
  </si>
  <si>
    <t>jandira</t>
  </si>
  <si>
    <t>4535b0e1091c278dfd193e5a1d63b39f</t>
  </si>
  <si>
    <t>livros_tecnicos</t>
  </si>
  <si>
    <t>Ετικέτες γραμμής</t>
  </si>
  <si>
    <t>Γενικό Άθροισμα</t>
  </si>
  <si>
    <t>2017</t>
  </si>
  <si>
    <t>2018</t>
  </si>
  <si>
    <t>Άθροισμα από total_value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</si>
</sst>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R$-416]\ #,##0.00"/>
  </numFmts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0" borderId="0" xfId="0" applyNumberFormat="1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/>
    <xf numFmtId="0" fontId="0" fillId="0" borderId="2" xfId="0" applyBorder="1" applyAlignment="1">
      <alignment horizontal="left"/>
    </xf>
    <xf numFmtId="0" fontId="0" fillId="0" borderId="4" xfId="0" applyBorder="1"/>
    <xf numFmtId="10" fontId="0" fillId="0" borderId="3" xfId="0" applyNumberFormat="1" applyBorder="1"/>
    <xf numFmtId="10" fontId="0" fillId="0" borderId="4" xfId="0" applyNumberFormat="1" applyBorder="1"/>
    <xf numFmtId="10" fontId="0" fillId="0" borderId="5" xfId="0" applyNumberFormat="1" applyBorder="1"/>
    <xf numFmtId="165" fontId="0" fillId="0" borderId="3" xfId="0" applyNumberFormat="1" applyBorder="1"/>
    <xf numFmtId="165" fontId="0" fillId="0" borderId="5" xfId="0" applyNumberFormat="1" applyBorder="1"/>
  </cellXfs>
  <cellStyles count="1">
    <cellStyle name="Κανονικό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[Olist_Sales_Analysis.xlsx]Revenue_analysis!Συγκεντρωτικός Πίνακας2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Revenue_analysis!$B$3</c:f>
              <c:strCache>
                <c:ptCount val="1"/>
                <c:pt idx="0">
                  <c:v>Άθροισμα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Revenue_analysis!$A$4:$A$6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Revenue_analysis!$B$4:$B$6</c:f>
              <c:numCache>
                <c:formatCode>[$R$-416]\ #,##0.00</c:formatCode>
                <c:ptCount val="2"/>
                <c:pt idx="0">
                  <c:v>61640</c:v>
                </c:pt>
                <c:pt idx="1">
                  <c:v>134639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99-4567-94BE-01F215C1C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6461263"/>
        <c:axId val="616462703"/>
      </c:lineChart>
      <c:catAx>
        <c:axId val="61646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16462703"/>
        <c:crosses val="autoZero"/>
        <c:auto val="1"/>
        <c:lblAlgn val="ctr"/>
        <c:lblOffset val="100"/>
        <c:noMultiLvlLbl val="0"/>
      </c:catAx>
      <c:valAx>
        <c:axId val="61646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1646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[Olist_Sales_Analysis.xlsx]Payments!Συγκεντρωτικός Πίνακας3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Payments!$B$3</c:f>
              <c:strCache>
                <c:ptCount val="1"/>
                <c:pt idx="0">
                  <c:v>Άθροισμα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687-4E59-9780-AE1F39F39B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687-4E59-9780-AE1F39F39B98}"/>
              </c:ext>
            </c:extLst>
          </c:dPt>
          <c:cat>
            <c:strRef>
              <c:f>Payments!$A$4:$A$6</c:f>
              <c:strCache>
                <c:ptCount val="2"/>
                <c:pt idx="0">
                  <c:v>boleto</c:v>
                </c:pt>
                <c:pt idx="1">
                  <c:v>credit_card</c:v>
                </c:pt>
              </c:strCache>
            </c:strRef>
          </c:cat>
          <c:val>
            <c:numRef>
              <c:f>Payments!$B$4:$B$6</c:f>
              <c:numCache>
                <c:formatCode>0.00%</c:formatCode>
                <c:ptCount val="2"/>
                <c:pt idx="0">
                  <c:v>1.7622873562632781E-2</c:v>
                </c:pt>
                <c:pt idx="1">
                  <c:v>0.98237712643736719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B-4CE1-8AF4-4C82C0DAB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[Olist_Sales_Analysis.xlsx]Top_categories!Συγκεντρωτικός Πίνακας4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Top_categories!$B$3</c:f>
              <c:strCache>
                <c:ptCount val="1"/>
                <c:pt idx="0">
                  <c:v>Άθροισμα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Top_categories!$A$4:$A$13</c:f>
              <c:strCache>
                <c:ptCount val="9"/>
                <c:pt idx="0">
                  <c:v>beleza_saude</c:v>
                </c:pt>
                <c:pt idx="1">
                  <c:v>cool_stuff</c:v>
                </c:pt>
                <c:pt idx="2">
                  <c:v>ferramentas_jardim</c:v>
                </c:pt>
                <c:pt idx="3">
                  <c:v>livros_tecnicos</c:v>
                </c:pt>
                <c:pt idx="4">
                  <c:v>moveis_decoracao</c:v>
                </c:pt>
                <c:pt idx="5">
                  <c:v>perfumaria</c:v>
                </c:pt>
                <c:pt idx="6">
                  <c:v>pet_shop</c:v>
                </c:pt>
                <c:pt idx="7">
                  <c:v>telefonia</c:v>
                </c:pt>
                <c:pt idx="8">
                  <c:v>utilidades_domesticas</c:v>
                </c:pt>
              </c:strCache>
            </c:strRef>
          </c:cat>
          <c:val>
            <c:numRef>
              <c:f>Top_categories!$B$4:$B$13</c:f>
              <c:numCache>
                <c:formatCode>General</c:formatCode>
                <c:ptCount val="9"/>
                <c:pt idx="0">
                  <c:v>15760</c:v>
                </c:pt>
                <c:pt idx="1">
                  <c:v>7219</c:v>
                </c:pt>
                <c:pt idx="2">
                  <c:v>109879</c:v>
                </c:pt>
                <c:pt idx="3">
                  <c:v>6539</c:v>
                </c:pt>
                <c:pt idx="4">
                  <c:v>21687</c:v>
                </c:pt>
                <c:pt idx="5">
                  <c:v>2578</c:v>
                </c:pt>
                <c:pt idx="6">
                  <c:v>25983</c:v>
                </c:pt>
                <c:pt idx="7">
                  <c:v>3175</c:v>
                </c:pt>
                <c:pt idx="8">
                  <c:v>3459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0-41A4-909B-29A772C26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4090911"/>
        <c:axId val="614089951"/>
        <c:axId val="0"/>
      </c:bar3DChart>
      <c:catAx>
        <c:axId val="61409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14089951"/>
        <c:crosses val="autoZero"/>
        <c:auto val="1"/>
        <c:lblAlgn val="ctr"/>
        <c:lblOffset val="100"/>
        <c:noMultiLvlLbl val="0"/>
      </c:catAx>
      <c:valAx>
        <c:axId val="61408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1409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6</xdr:row>
      <xdr:rowOff>41910</xdr:rowOff>
    </xdr:from>
    <xdr:to>
      <xdr:col>9</xdr:col>
      <xdr:colOff>472440</xdr:colOff>
      <xdr:row>21</xdr:row>
      <xdr:rowOff>41910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35B966F6-8E8B-7440-F2C4-7022F2187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6</xdr:row>
      <xdr:rowOff>41910</xdr:rowOff>
    </xdr:from>
    <xdr:to>
      <xdr:col>9</xdr:col>
      <xdr:colOff>472440</xdr:colOff>
      <xdr:row>21</xdr:row>
      <xdr:rowOff>41910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44F898B3-4ABC-C6E5-E0B2-9C59910E0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6</xdr:row>
      <xdr:rowOff>41910</xdr:rowOff>
    </xdr:from>
    <xdr:to>
      <xdr:col>9</xdr:col>
      <xdr:colOff>350520</xdr:colOff>
      <xdr:row>21</xdr:row>
      <xdr:rowOff>41910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48868772-6902-E5D6-4470-E17B2EEA0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Δημήτρης Πετρίδης" refreshedDate="46176.806925231482" createdVersion="8" refreshedVersion="8" minRefreshableVersion="3" recordCount="10" xr:uid="{6CA9CACF-0867-48DC-937E-1BEF08861FF6}">
  <cacheSource type="worksheet">
    <worksheetSource name="data_1780503078479"/>
  </cacheSource>
  <cacheFields count="17">
    <cacheField name="order_id" numFmtId="0">
      <sharedItems/>
    </cacheField>
    <cacheField name="purchase_date" numFmtId="22">
      <sharedItems containsSemiMixedTypes="0" containsNonDate="0" containsDate="1" containsString="0" minDate="2017-02-04T13:57:51" maxDate="2018-08-08T10:00:35" count="10">
        <d v="2017-09-13T08:59:02"/>
        <d v="2017-04-26T10:53:06"/>
        <d v="2018-01-14T14:33:31"/>
        <d v="2018-08-08T10:00:35"/>
        <d v="2017-02-04T13:57:51"/>
        <d v="2017-05-15T21:42:34"/>
        <d v="2017-12-10T11:53:48"/>
        <d v="2018-07-04T12:08:27"/>
        <d v="2018-03-19T18:40:33"/>
        <d v="2018-07-02T13:59:39"/>
      </sharedItems>
      <fieldGroup par="16"/>
    </cacheField>
    <cacheField name="order_status" numFmtId="0">
      <sharedItems/>
    </cacheField>
    <cacheField name="customer_id" numFmtId="0">
      <sharedItems/>
    </cacheField>
    <cacheField name="customer_city" numFmtId="0">
      <sharedItems/>
    </cacheField>
    <cacheField name="customer_state" numFmtId="0">
      <sharedItems/>
    </cacheField>
    <cacheField name="product_id" numFmtId="0">
      <sharedItems/>
    </cacheField>
    <cacheField name="category" numFmtId="0">
      <sharedItems count="9">
        <s v="cool_stuff"/>
        <s v="pet_shop"/>
        <s v="moveis_decoracao"/>
        <s v="perfumaria"/>
        <s v="ferramentas_jardim"/>
        <s v="utilidades_domesticas"/>
        <s v="telefonia"/>
        <s v="beleza_saude"/>
        <s v="livros_tecnicos"/>
      </sharedItems>
    </cacheField>
    <cacheField name="quantity_rank" numFmtId="0">
      <sharedItems containsSemiMixedTypes="0" containsString="0" containsNumber="1" containsInteger="1" minValue="1" maxValue="1"/>
    </cacheField>
    <cacheField name="price" numFmtId="0">
      <sharedItems containsSemiMixedTypes="0" containsString="0" containsNumber="1" containsInteger="1" minValue="1299" maxValue="81000"/>
    </cacheField>
    <cacheField name="shipping_cost" numFmtId="0">
      <sharedItems containsSemiMixedTypes="0" containsString="0" containsNumber="1" containsInteger="1" minValue="1140" maxValue="7075"/>
    </cacheField>
    <cacheField name="total_value" numFmtId="0">
      <sharedItems containsSemiMixedTypes="0" containsString="0" containsNumber="1" containsInteger="1" minValue="2578" maxValue="88075"/>
    </cacheField>
    <cacheField name="payment_type" numFmtId="0">
      <sharedItems count="2">
        <s v="credit_card"/>
        <s v="boleto"/>
      </sharedItems>
    </cacheField>
    <cacheField name="payment_installments" numFmtId="0">
      <sharedItems containsSemiMixedTypes="0" containsString="0" containsNumber="1" containsInteger="1" minValue="1" maxValue="10"/>
    </cacheField>
    <cacheField name="Μήνες (purchase_date)" numFmtId="0" databaseField="0">
      <fieldGroup base="1">
        <rangePr groupBy="months" startDate="2017-02-04T13:57:51" endDate="2018-08-08T10:00:35"/>
        <groupItems count="14">
          <s v="&lt;4/2/2017"/>
          <s v="Ιαν"/>
          <s v="Φεβ"/>
          <s v="Μαρ"/>
          <s v="Απρ"/>
          <s v="Μαϊ"/>
          <s v="Ιουν"/>
          <s v="Ιουλ"/>
          <s v="Αυγ"/>
          <s v="Σεπ"/>
          <s v="Οκτ"/>
          <s v="Νοε"/>
          <s v="Δεκ"/>
          <s v="&gt;8/8/2018"/>
        </groupItems>
      </fieldGroup>
    </cacheField>
    <cacheField name="Τρίμηνα (purchase_date)" numFmtId="0" databaseField="0">
      <fieldGroup base="1">
        <rangePr groupBy="quarters" startDate="2017-02-04T13:57:51" endDate="2018-08-08T10:00:35"/>
        <groupItems count="6">
          <s v="&lt;4/2/2017"/>
          <s v="Τριμ.1"/>
          <s v="Τριμ.2"/>
          <s v="Τριμ.3"/>
          <s v="Τριμ.4"/>
          <s v="&gt;8/8/2018"/>
        </groupItems>
      </fieldGroup>
    </cacheField>
    <cacheField name="Έτη (purchase_date)" numFmtId="0" databaseField="0">
      <fieldGroup base="1">
        <rangePr groupBy="years" startDate="2017-02-04T13:57:51" endDate="2018-08-08T10:00:35"/>
        <groupItems count="4">
          <s v="&lt;4/2/2017"/>
          <s v="2017"/>
          <s v="2018"/>
          <s v="&gt;8/8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00010242fe8c5a6d1ba2dd792cb16214"/>
    <x v="0"/>
    <s v="delivered"/>
    <s v="871766c5855e863f6eccc05f988b23cb"/>
    <s v="campos dos goytacazes"/>
    <s v="RJ"/>
    <s v="4244733e06e7ecb4970a6e2683c13e61"/>
    <x v="0"/>
    <n v="1"/>
    <n v="5890"/>
    <n v="1329"/>
    <n v="7219"/>
    <x v="0"/>
    <n v="2"/>
  </r>
  <r>
    <s v="00018f77f2f0320c557190d7a144bdd3"/>
    <x v="1"/>
    <s v="delivered"/>
    <s v="eb28e67c4c0b83846050ddfb8a35d051"/>
    <s v="santa fe do sul"/>
    <s v="SP"/>
    <s v="e5f2d52b802189ee658865ca93d83a8f"/>
    <x v="1"/>
    <n v="1"/>
    <n v="23990"/>
    <n v="1993"/>
    <n v="25983"/>
    <x v="0"/>
    <n v="3"/>
  </r>
  <r>
    <s v="000229ec398224ef6ca0657da4fc703e"/>
    <x v="2"/>
    <s v="delivered"/>
    <s v="3818d81c6709e39d06b2738a8d3a2474"/>
    <s v="para de minas"/>
    <s v="MG"/>
    <s v="c777355d18b72b67abbeef9df44fd0fd"/>
    <x v="2"/>
    <n v="1"/>
    <n v="19900"/>
    <n v="1787"/>
    <n v="21687"/>
    <x v="0"/>
    <n v="5"/>
  </r>
  <r>
    <s v="00024acbcdf0a6daa1e931b038114c75"/>
    <x v="3"/>
    <s v="delivered"/>
    <s v="af861d436cfc08b2c2ddefd0ba074622"/>
    <s v="atibaia"/>
    <s v="SP"/>
    <s v="7634da152a4610f1595efa32f14722fc"/>
    <x v="3"/>
    <n v="1"/>
    <n v="1299"/>
    <n v="1279"/>
    <n v="2578"/>
    <x v="0"/>
    <n v="2"/>
  </r>
  <r>
    <s v="00042b26cf59d7ce69dfabb4e55b4fd9"/>
    <x v="4"/>
    <s v="delivered"/>
    <s v="64b576fb70d441e8f1b2d7d446e483c5"/>
    <s v="varzea paulista"/>
    <s v="SP"/>
    <s v="ac6c3623068f30de03045865e4e10089"/>
    <x v="4"/>
    <n v="1"/>
    <n v="19990"/>
    <n v="1814"/>
    <n v="21804"/>
    <x v="0"/>
    <n v="3"/>
  </r>
  <r>
    <s v="00048cc3ae777c65dbb7d2a0634bc1ea"/>
    <x v="5"/>
    <s v="delivered"/>
    <s v="85c835d128beae5b4ce8602c491bf385"/>
    <s v="uberaba"/>
    <s v="MG"/>
    <s v="ef92defde845ab8450f9d70c526ef70f"/>
    <x v="5"/>
    <n v="1"/>
    <n v="2190"/>
    <n v="1269"/>
    <n v="3459"/>
    <x v="1"/>
    <n v="1"/>
  </r>
  <r>
    <s v="00054e8431b9d7675808bcb819fb4a32"/>
    <x v="6"/>
    <s v="delivered"/>
    <s v="635d9ac1680f03288e72ada3a1035803"/>
    <s v="guararapes"/>
    <s v="SP"/>
    <s v="8d4f2bb7e93e6710a28f34fa83ee7d28"/>
    <x v="6"/>
    <n v="1"/>
    <n v="1990"/>
    <n v="1185"/>
    <n v="3175"/>
    <x v="0"/>
    <n v="1"/>
  </r>
  <r>
    <s v="000576fe39319847cbb9d288c5617fa6"/>
    <x v="7"/>
    <s v="delivered"/>
    <s v="fda4476abb6307ab3c415b7e6d026526"/>
    <s v="praia grande"/>
    <s v="SP"/>
    <s v="557d850972a7d6f792fd18ae1400d9b6"/>
    <x v="4"/>
    <n v="1"/>
    <n v="81000"/>
    <n v="7075"/>
    <n v="88075"/>
    <x v="0"/>
    <n v="10"/>
  </r>
  <r>
    <s v="0005a1a1728c9d785b8e2b08b904576c"/>
    <x v="8"/>
    <s v="delivered"/>
    <s v="639d23421f5517f69d0c3d6e6564cf0e"/>
    <s v="santos"/>
    <s v="SP"/>
    <s v="310ae3c140ff94b03219ad0adc3c778f"/>
    <x v="7"/>
    <n v="1"/>
    <n v="14595"/>
    <n v="1165"/>
    <n v="15760"/>
    <x v="0"/>
    <n v="3"/>
  </r>
  <r>
    <s v="0005f50442cb953dcd1d21e1fb923495"/>
    <x v="9"/>
    <s v="delivered"/>
    <s v="0782c41380992a5a533489063df0eef6"/>
    <s v="jandira"/>
    <s v="SP"/>
    <s v="4535b0e1091c278dfd193e5a1d63b39f"/>
    <x v="8"/>
    <n v="1"/>
    <n v="5399"/>
    <n v="1140"/>
    <n v="6539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8A4DE-719E-4B1A-8853-2028ABF2532B}" name="Συγκεντρωτικός Πίνακας2" cacheId="0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7">
    <pivotField showAll="0"/>
    <pivotField axis="axisRow" numFmtId="22" showAll="0">
      <items count="11">
        <item x="4"/>
        <item x="1"/>
        <item x="5"/>
        <item x="0"/>
        <item x="6"/>
        <item x="2"/>
        <item x="8"/>
        <item x="9"/>
        <item x="7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16"/>
    <field x="15"/>
    <field x="14"/>
    <field x="1"/>
  </rowFields>
  <rowItems count="3">
    <i>
      <x v="1"/>
    </i>
    <i>
      <x v="2"/>
    </i>
    <i t="grand">
      <x/>
    </i>
  </rowItems>
  <colItems count="1">
    <i/>
  </colItems>
  <dataFields count="1">
    <dataField name="Άθροισμα από total_value" fld="11" baseField="0" baseItem="0" numFmtId="165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C366C-7749-4E15-9074-E61BD95E8B3D}" name="Συγκεντρωτικός Πίνακας3" cacheId="0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7">
    <pivotField showAll="0"/>
    <pivotField numFmtId="22" showAll="0">
      <items count="11">
        <item x="4"/>
        <item x="1"/>
        <item x="5"/>
        <item x="0"/>
        <item x="6"/>
        <item x="2"/>
        <item x="8"/>
        <item x="9"/>
        <item x="7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Άθροισμα από total_value" fld="11" showDataAs="percentOfTotal" baseField="0" baseItem="0" numFmtId="1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7FF54-790A-4FE0-9378-A1D972DEA44B}" name="Συγκεντρωτικός Πίνακας4" cacheId="0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 chartFormat="5">
  <location ref="A3:B13" firstHeaderRow="1" firstDataRow="1" firstDataCol="1"/>
  <pivotFields count="17">
    <pivotField showAll="0"/>
    <pivotField numFmtId="22" showAll="0">
      <items count="11">
        <item x="4"/>
        <item x="1"/>
        <item x="5"/>
        <item x="0"/>
        <item x="6"/>
        <item x="2"/>
        <item x="8"/>
        <item x="9"/>
        <item x="7"/>
        <item x="3"/>
        <item t="default"/>
      </items>
    </pivotField>
    <pivotField showAll="0"/>
    <pivotField showAll="0"/>
    <pivotField showAll="0"/>
    <pivotField showAll="0"/>
    <pivotField showAll="0"/>
    <pivotField axis="axisRow" showAll="0" measureFilter="1">
      <items count="10">
        <item x="7"/>
        <item x="0"/>
        <item x="4"/>
        <item x="8"/>
        <item x="2"/>
        <item x="3"/>
        <item x="1"/>
        <item x="6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Άθροισμα από total_value" fld="11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F4D348-6563-4FE3-A539-83BCC71D8747}" autoFormatId="16" applyNumberFormats="0" applyBorderFormats="0" applyFontFormats="0" applyPatternFormats="0" applyAlignmentFormats="0" applyWidthHeightFormats="0">
  <queryTableRefresh nextId="15">
    <queryTableFields count="14">
      <queryTableField id="1" name="order_id" tableColumnId="1"/>
      <queryTableField id="2" name="purchase_date" tableColumnId="2"/>
      <queryTableField id="3" name="order_status" tableColumnId="3"/>
      <queryTableField id="4" name="customer_id" tableColumnId="4"/>
      <queryTableField id="5" name="customer_city" tableColumnId="5"/>
      <queryTableField id="6" name="customer_state" tableColumnId="6"/>
      <queryTableField id="7" name="product_id" tableColumnId="7"/>
      <queryTableField id="8" name="category" tableColumnId="8"/>
      <queryTableField id="9" name="quantity_rank" tableColumnId="9"/>
      <queryTableField id="10" name="price" tableColumnId="10"/>
      <queryTableField id="11" name="shipping_cost" tableColumnId="11"/>
      <queryTableField id="12" name="total_value" tableColumnId="12"/>
      <queryTableField id="13" name="payment_type" tableColumnId="13"/>
      <queryTableField id="14" name="payment_installment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C8D58F-CFEF-49B7-9316-83C98ABD70A1}" name="data_1780503078479" displayName="data_1780503078479" ref="A1:N11" tableType="queryTable" totalsRowShown="0">
  <autoFilter ref="A1:N11" xr:uid="{94C8D58F-CFEF-49B7-9316-83C98ABD70A1}"/>
  <tableColumns count="14">
    <tableColumn id="1" xr3:uid="{FB1ABC1E-1029-4EC3-8B5B-7862692DDB19}" uniqueName="1" name="order_id" queryTableFieldId="1" dataDxfId="8"/>
    <tableColumn id="2" xr3:uid="{CD7CF4AC-221B-41CF-9613-06EB6F852D0B}" uniqueName="2" name="purchase_date" queryTableFieldId="2" dataDxfId="7"/>
    <tableColumn id="3" xr3:uid="{A198BA68-C1BB-42AA-81BD-9E2440CC77C3}" uniqueName="3" name="order_status" queryTableFieldId="3" dataDxfId="6"/>
    <tableColumn id="4" xr3:uid="{E0755144-7597-4BC3-B1A3-4C85A8AB9D19}" uniqueName="4" name="customer_id" queryTableFieldId="4" dataDxfId="5"/>
    <tableColumn id="5" xr3:uid="{30AFB7E6-01BF-4373-B383-CB89B7460A78}" uniqueName="5" name="customer_city" queryTableFieldId="5" dataDxfId="4"/>
    <tableColumn id="6" xr3:uid="{B9416BB5-A42C-4867-B533-A0A0DE7C8175}" uniqueName="6" name="customer_state" queryTableFieldId="6" dataDxfId="3"/>
    <tableColumn id="7" xr3:uid="{54B64F5C-60A0-423D-BE51-573C85BEE1FF}" uniqueName="7" name="product_id" queryTableFieldId="7" dataDxfId="2"/>
    <tableColumn id="8" xr3:uid="{BA097435-F5C3-419C-B624-B3ADF972768A}" uniqueName="8" name="category" queryTableFieldId="8" dataDxfId="1"/>
    <tableColumn id="9" xr3:uid="{5D2EAB8C-D519-4974-AA92-3745748544C5}" uniqueName="9" name="quantity_rank" queryTableFieldId="9"/>
    <tableColumn id="10" xr3:uid="{E70B260D-B4F2-41E6-A679-CBD9BF41D7CF}" uniqueName="10" name="price" queryTableFieldId="10"/>
    <tableColumn id="11" xr3:uid="{CCAF81E9-D609-4A63-BBFF-40EC18B85533}" uniqueName="11" name="shipping_cost" queryTableFieldId="11"/>
    <tableColumn id="12" xr3:uid="{9F32DC44-16EB-4237-8F2C-4571D1B7A179}" uniqueName="12" name="total_value" queryTableFieldId="12"/>
    <tableColumn id="13" xr3:uid="{014A9568-E1E1-45A7-AAD1-EB908FEDF388}" uniqueName="13" name="payment_type" queryTableFieldId="13" dataDxfId="0"/>
    <tableColumn id="14" xr3:uid="{32826738-7D2B-40CC-B319-BDD288C3A0AB}" uniqueName="14" name="payment_installments" queryTableFieldId="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DE7E-A069-457D-9657-0C9E1ECDC73A}">
  <dimension ref="A3:B6"/>
  <sheetViews>
    <sheetView showGridLines="0" tabSelected="1" workbookViewId="0">
      <selection activeCell="B4" sqref="B4"/>
    </sheetView>
  </sheetViews>
  <sheetFormatPr defaultRowHeight="14.4" x14ac:dyDescent="0.3"/>
  <cols>
    <col min="1" max="1" width="17.44140625" bestFit="1" customWidth="1"/>
    <col min="2" max="2" width="23" bestFit="1" customWidth="1"/>
  </cols>
  <sheetData>
    <row r="3" spans="1:2" x14ac:dyDescent="0.3">
      <c r="A3" s="2" t="s">
        <v>69</v>
      </c>
      <c r="B3" s="3" t="s">
        <v>73</v>
      </c>
    </row>
    <row r="4" spans="1:2" x14ac:dyDescent="0.3">
      <c r="A4" s="4" t="s">
        <v>71</v>
      </c>
      <c r="B4" s="12">
        <v>61640</v>
      </c>
    </row>
    <row r="5" spans="1:2" x14ac:dyDescent="0.3">
      <c r="A5" s="4" t="s">
        <v>72</v>
      </c>
      <c r="B5" s="12">
        <v>134639</v>
      </c>
    </row>
    <row r="6" spans="1:2" x14ac:dyDescent="0.3">
      <c r="A6" s="5" t="s">
        <v>70</v>
      </c>
      <c r="B6" s="13">
        <v>196279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B780-CC7C-4EDF-821E-0232888F1CAD}">
  <dimension ref="A3:B6"/>
  <sheetViews>
    <sheetView showGridLines="0" workbookViewId="0">
      <selection activeCell="B6" sqref="B6"/>
    </sheetView>
  </sheetViews>
  <sheetFormatPr defaultRowHeight="14.4" x14ac:dyDescent="0.3"/>
  <cols>
    <col min="1" max="1" width="17.44140625" bestFit="1" customWidth="1"/>
    <col min="2" max="2" width="23" bestFit="1" customWidth="1"/>
  </cols>
  <sheetData>
    <row r="3" spans="1:2" x14ac:dyDescent="0.3">
      <c r="A3" s="2" t="s">
        <v>69</v>
      </c>
      <c r="B3" s="3" t="s">
        <v>73</v>
      </c>
    </row>
    <row r="4" spans="1:2" x14ac:dyDescent="0.3">
      <c r="A4" s="4" t="s">
        <v>49</v>
      </c>
      <c r="B4" s="9">
        <v>1.7622873562632781E-2</v>
      </c>
    </row>
    <row r="5" spans="1:2" x14ac:dyDescent="0.3">
      <c r="A5" s="7" t="s">
        <v>21</v>
      </c>
      <c r="B5" s="10">
        <v>0.98237712643736719</v>
      </c>
    </row>
    <row r="6" spans="1:2" x14ac:dyDescent="0.3">
      <c r="A6" s="5" t="s">
        <v>70</v>
      </c>
      <c r="B6" s="11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A421-3C37-4E62-84E0-935918F30486}">
  <dimension ref="A3:B13"/>
  <sheetViews>
    <sheetView showGridLines="0" workbookViewId="0">
      <selection activeCell="B5" sqref="B5"/>
    </sheetView>
  </sheetViews>
  <sheetFormatPr defaultRowHeight="14.4" x14ac:dyDescent="0.3"/>
  <cols>
    <col min="1" max="1" width="19.21875" bestFit="1" customWidth="1"/>
    <col min="2" max="2" width="23" bestFit="1" customWidth="1"/>
  </cols>
  <sheetData>
    <row r="3" spans="1:2" x14ac:dyDescent="0.3">
      <c r="A3" s="2" t="s">
        <v>69</v>
      </c>
      <c r="B3" s="3" t="s">
        <v>73</v>
      </c>
    </row>
    <row r="4" spans="1:2" x14ac:dyDescent="0.3">
      <c r="A4" s="4" t="s">
        <v>63</v>
      </c>
      <c r="B4" s="3">
        <v>15760</v>
      </c>
    </row>
    <row r="5" spans="1:2" x14ac:dyDescent="0.3">
      <c r="A5" s="7" t="s">
        <v>20</v>
      </c>
      <c r="B5" s="8">
        <v>7219</v>
      </c>
    </row>
    <row r="6" spans="1:2" x14ac:dyDescent="0.3">
      <c r="A6" s="7" t="s">
        <v>43</v>
      </c>
      <c r="B6" s="8">
        <v>109879</v>
      </c>
    </row>
    <row r="7" spans="1:2" x14ac:dyDescent="0.3">
      <c r="A7" s="7" t="s">
        <v>68</v>
      </c>
      <c r="B7" s="8">
        <v>6539</v>
      </c>
    </row>
    <row r="8" spans="1:2" x14ac:dyDescent="0.3">
      <c r="A8" s="7" t="s">
        <v>33</v>
      </c>
      <c r="B8" s="8">
        <v>21687</v>
      </c>
    </row>
    <row r="9" spans="1:2" x14ac:dyDescent="0.3">
      <c r="A9" s="7" t="s">
        <v>38</v>
      </c>
      <c r="B9" s="8">
        <v>2578</v>
      </c>
    </row>
    <row r="10" spans="1:2" x14ac:dyDescent="0.3">
      <c r="A10" s="7" t="s">
        <v>27</v>
      </c>
      <c r="B10" s="8">
        <v>25983</v>
      </c>
    </row>
    <row r="11" spans="1:2" x14ac:dyDescent="0.3">
      <c r="A11" s="7" t="s">
        <v>54</v>
      </c>
      <c r="B11" s="8">
        <v>3175</v>
      </c>
    </row>
    <row r="12" spans="1:2" x14ac:dyDescent="0.3">
      <c r="A12" s="7" t="s">
        <v>48</v>
      </c>
      <c r="B12" s="8">
        <v>3459</v>
      </c>
    </row>
    <row r="13" spans="1:2" x14ac:dyDescent="0.3">
      <c r="A13" s="5" t="s">
        <v>70</v>
      </c>
      <c r="B13" s="6">
        <v>196279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576B4-8513-4803-8BF6-F081A5876E99}">
  <dimension ref="A1:N11"/>
  <sheetViews>
    <sheetView workbookViewId="0">
      <selection activeCell="A2" sqref="A2"/>
    </sheetView>
  </sheetViews>
  <sheetFormatPr defaultRowHeight="14.4" x14ac:dyDescent="0.3"/>
  <cols>
    <col min="1" max="1" width="33.33203125" bestFit="1" customWidth="1"/>
    <col min="2" max="2" width="15.6640625" bestFit="1" customWidth="1"/>
    <col min="3" max="3" width="13.5546875" bestFit="1" customWidth="1"/>
    <col min="4" max="4" width="33.44140625" bestFit="1" customWidth="1"/>
    <col min="5" max="5" width="20.33203125" bestFit="1" customWidth="1"/>
    <col min="6" max="6" width="16.109375" bestFit="1" customWidth="1"/>
    <col min="7" max="7" width="33.33203125" bestFit="1" customWidth="1"/>
    <col min="8" max="8" width="19.21875" bestFit="1" customWidth="1"/>
    <col min="9" max="9" width="14.44140625" bestFit="1" customWidth="1"/>
    <col min="10" max="10" width="7.21875" bestFit="1" customWidth="1"/>
    <col min="11" max="11" width="14.21875" bestFit="1" customWidth="1"/>
    <col min="12" max="12" width="12.44140625" bestFit="1" customWidth="1"/>
    <col min="13" max="13" width="14.88671875" bestFit="1" customWidth="1"/>
    <col min="14" max="14" width="21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42991.374328703707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</v>
      </c>
      <c r="J2">
        <v>5890</v>
      </c>
      <c r="K2">
        <v>1329</v>
      </c>
      <c r="L2">
        <v>7219</v>
      </c>
      <c r="M2" t="s">
        <v>21</v>
      </c>
      <c r="N2">
        <v>2</v>
      </c>
    </row>
    <row r="3" spans="1:14" x14ac:dyDescent="0.3">
      <c r="A3" t="s">
        <v>22</v>
      </c>
      <c r="B3" s="1">
        <v>42851.453541666669</v>
      </c>
      <c r="C3" t="s">
        <v>15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1</v>
      </c>
      <c r="J3">
        <v>23990</v>
      </c>
      <c r="K3">
        <v>1993</v>
      </c>
      <c r="L3">
        <v>25983</v>
      </c>
      <c r="M3" t="s">
        <v>21</v>
      </c>
      <c r="N3">
        <v>3</v>
      </c>
    </row>
    <row r="4" spans="1:14" x14ac:dyDescent="0.3">
      <c r="A4" t="s">
        <v>28</v>
      </c>
      <c r="B4" s="1">
        <v>43114.606608796297</v>
      </c>
      <c r="C4" t="s">
        <v>15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>
        <v>1</v>
      </c>
      <c r="J4">
        <v>19900</v>
      </c>
      <c r="K4">
        <v>1787</v>
      </c>
      <c r="L4">
        <v>21687</v>
      </c>
      <c r="M4" t="s">
        <v>21</v>
      </c>
      <c r="N4">
        <v>5</v>
      </c>
    </row>
    <row r="5" spans="1:14" x14ac:dyDescent="0.3">
      <c r="A5" t="s">
        <v>34</v>
      </c>
      <c r="B5" s="1">
        <v>43320.417071759257</v>
      </c>
      <c r="C5" t="s">
        <v>15</v>
      </c>
      <c r="D5" t="s">
        <v>35</v>
      </c>
      <c r="E5" t="s">
        <v>36</v>
      </c>
      <c r="F5" t="s">
        <v>25</v>
      </c>
      <c r="G5" t="s">
        <v>37</v>
      </c>
      <c r="H5" t="s">
        <v>38</v>
      </c>
      <c r="I5">
        <v>1</v>
      </c>
      <c r="J5">
        <v>1299</v>
      </c>
      <c r="K5">
        <v>1279</v>
      </c>
      <c r="L5">
        <v>2578</v>
      </c>
      <c r="M5" t="s">
        <v>21</v>
      </c>
      <c r="N5">
        <v>2</v>
      </c>
    </row>
    <row r="6" spans="1:14" x14ac:dyDescent="0.3">
      <c r="A6" t="s">
        <v>39</v>
      </c>
      <c r="B6" s="1">
        <v>42770.58184027778</v>
      </c>
      <c r="C6" t="s">
        <v>15</v>
      </c>
      <c r="D6" t="s">
        <v>40</v>
      </c>
      <c r="E6" t="s">
        <v>41</v>
      </c>
      <c r="F6" t="s">
        <v>25</v>
      </c>
      <c r="G6" t="s">
        <v>42</v>
      </c>
      <c r="H6" t="s">
        <v>43</v>
      </c>
      <c r="I6">
        <v>1</v>
      </c>
      <c r="J6">
        <v>19990</v>
      </c>
      <c r="K6">
        <v>1814</v>
      </c>
      <c r="L6">
        <v>21804</v>
      </c>
      <c r="M6" t="s">
        <v>21</v>
      </c>
      <c r="N6">
        <v>3</v>
      </c>
    </row>
    <row r="7" spans="1:14" x14ac:dyDescent="0.3">
      <c r="A7" t="s">
        <v>44</v>
      </c>
      <c r="B7" s="1">
        <v>42870.904560185183</v>
      </c>
      <c r="C7" t="s">
        <v>15</v>
      </c>
      <c r="D7" t="s">
        <v>45</v>
      </c>
      <c r="E7" t="s">
        <v>46</v>
      </c>
      <c r="F7" t="s">
        <v>31</v>
      </c>
      <c r="G7" t="s">
        <v>47</v>
      </c>
      <c r="H7" t="s">
        <v>48</v>
      </c>
      <c r="I7">
        <v>1</v>
      </c>
      <c r="J7">
        <v>2190</v>
      </c>
      <c r="K7">
        <v>1269</v>
      </c>
      <c r="L7">
        <v>3459</v>
      </c>
      <c r="M7" t="s">
        <v>49</v>
      </c>
      <c r="N7">
        <v>1</v>
      </c>
    </row>
    <row r="8" spans="1:14" x14ac:dyDescent="0.3">
      <c r="A8" t="s">
        <v>50</v>
      </c>
      <c r="B8" s="1">
        <v>43079.495694444442</v>
      </c>
      <c r="C8" t="s">
        <v>15</v>
      </c>
      <c r="D8" t="s">
        <v>51</v>
      </c>
      <c r="E8" t="s">
        <v>52</v>
      </c>
      <c r="F8" t="s">
        <v>25</v>
      </c>
      <c r="G8" t="s">
        <v>53</v>
      </c>
      <c r="H8" t="s">
        <v>54</v>
      </c>
      <c r="I8">
        <v>1</v>
      </c>
      <c r="J8">
        <v>1990</v>
      </c>
      <c r="K8">
        <v>1185</v>
      </c>
      <c r="L8">
        <v>3175</v>
      </c>
      <c r="M8" t="s">
        <v>21</v>
      </c>
      <c r="N8">
        <v>1</v>
      </c>
    </row>
    <row r="9" spans="1:14" x14ac:dyDescent="0.3">
      <c r="A9" t="s">
        <v>55</v>
      </c>
      <c r="B9" s="1">
        <v>43285.505868055552</v>
      </c>
      <c r="C9" t="s">
        <v>15</v>
      </c>
      <c r="D9" t="s">
        <v>56</v>
      </c>
      <c r="E9" t="s">
        <v>57</v>
      </c>
      <c r="F9" t="s">
        <v>25</v>
      </c>
      <c r="G9" t="s">
        <v>58</v>
      </c>
      <c r="H9" t="s">
        <v>43</v>
      </c>
      <c r="I9">
        <v>1</v>
      </c>
      <c r="J9">
        <v>81000</v>
      </c>
      <c r="K9">
        <v>7075</v>
      </c>
      <c r="L9">
        <v>88075</v>
      </c>
      <c r="M9" t="s">
        <v>21</v>
      </c>
      <c r="N9">
        <v>10</v>
      </c>
    </row>
    <row r="10" spans="1:14" x14ac:dyDescent="0.3">
      <c r="A10" t="s">
        <v>59</v>
      </c>
      <c r="B10" s="1">
        <v>43178.77815972222</v>
      </c>
      <c r="C10" t="s">
        <v>15</v>
      </c>
      <c r="D10" t="s">
        <v>60</v>
      </c>
      <c r="E10" t="s">
        <v>61</v>
      </c>
      <c r="F10" t="s">
        <v>25</v>
      </c>
      <c r="G10" t="s">
        <v>62</v>
      </c>
      <c r="H10" t="s">
        <v>63</v>
      </c>
      <c r="I10">
        <v>1</v>
      </c>
      <c r="J10">
        <v>14595</v>
      </c>
      <c r="K10">
        <v>1165</v>
      </c>
      <c r="L10">
        <v>15760</v>
      </c>
      <c r="M10" t="s">
        <v>21</v>
      </c>
      <c r="N10">
        <v>3</v>
      </c>
    </row>
    <row r="11" spans="1:14" x14ac:dyDescent="0.3">
      <c r="A11" t="s">
        <v>64</v>
      </c>
      <c r="B11" s="1">
        <v>43283.583090277774</v>
      </c>
      <c r="C11" t="s">
        <v>15</v>
      </c>
      <c r="D11" t="s">
        <v>65</v>
      </c>
      <c r="E11" t="s">
        <v>66</v>
      </c>
      <c r="F11" t="s">
        <v>25</v>
      </c>
      <c r="G11" t="s">
        <v>67</v>
      </c>
      <c r="H11" t="s">
        <v>68</v>
      </c>
      <c r="I11">
        <v>1</v>
      </c>
      <c r="J11">
        <v>5399</v>
      </c>
      <c r="K11">
        <v>1140</v>
      </c>
      <c r="L11">
        <v>6539</v>
      </c>
      <c r="M11" t="s">
        <v>21</v>
      </c>
      <c r="N1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E2E8E9-9BA9-4DF9-BBD1-A519396316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Revenue_analysis</vt:lpstr>
      <vt:lpstr>Payments</vt:lpstr>
      <vt:lpstr>Top_categories</vt:lpstr>
      <vt:lpstr>data-1780503078479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Δημήτρης Πετρίδης</dc:creator>
  <cp:lastModifiedBy>Δημήτρης Πετρίδης</cp:lastModifiedBy>
  <dcterms:created xsi:type="dcterms:W3CDTF">2026-06-03T16:19:20Z</dcterms:created>
  <dcterms:modified xsi:type="dcterms:W3CDTF">2026-06-04T08:36:36Z</dcterms:modified>
</cp:coreProperties>
</file>